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google-ads-ops\analysis\google-geo-analysis\output\"/>
    </mc:Choice>
  </mc:AlternateContent>
  <xr:revisionPtr revIDLastSave="0" documentId="13_ncr:1_{9ED983FC-54F5-4696-9856-3ED2969FEC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ollout Summary" sheetId="1" r:id="rId1"/>
    <sheet name="Move Schedule" sheetId="2" r:id="rId2"/>
    <sheet name="Tier Transition Matrix" sheetId="3" r:id="rId3"/>
    <sheet name="Shell Repurposing Map" sheetId="4" r:id="rId4"/>
    <sheet name="New Tier Profile" sheetId="5" r:id="rId5"/>
    <sheet name="Targets &amp; Floors" sheetId="6" r:id="rId6"/>
    <sheet name="Exception Watch" sheetId="7" r:id="rId7"/>
    <sheet name="Risks &amp; Sequenc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D8" i="6"/>
  <c r="G8" i="6" s="1"/>
  <c r="E7" i="6"/>
  <c r="D7" i="6"/>
  <c r="G7" i="6" s="1"/>
  <c r="E6" i="6"/>
  <c r="D6" i="6"/>
  <c r="G6" i="6" s="1"/>
  <c r="E5" i="6"/>
  <c r="D5" i="6"/>
  <c r="G5" i="6" s="1"/>
</calcChain>
</file>

<file path=xl/sharedStrings.xml><?xml version="1.0" encoding="utf-8"?>
<sst xmlns="http://schemas.openxmlformats.org/spreadsheetml/2006/main" count="392" uniqueCount="172">
  <si>
    <t>Google Home — RPL k=4 re-tier: single-cutover rollout plan</t>
  </si>
  <si>
    <t>At a glance</t>
  </si>
  <si>
    <t>Cutover (all membership moves, one event)</t>
  </si>
  <si>
    <t>2026-07-29</t>
  </si>
  <si>
    <t>States re-tiering (readable, ex-standalones)</t>
  </si>
  <si>
    <t>35</t>
  </si>
  <si>
    <t>States changing shells</t>
  </si>
  <si>
    <t>20  (57% — a majority-move restructure; phasing is not viable)</t>
  </si>
  <si>
    <t>Spend in motion</t>
  </si>
  <si>
    <t>$33,034  (53% of $62,487)</t>
  </si>
  <si>
    <t>States staying in place</t>
  </si>
  <si>
    <t>15  ($29,452, 47%)</t>
  </si>
  <si>
    <t>Below-gate placements folded in at cutover</t>
  </si>
  <si>
    <t>7  (New Hampshire, West Virginia, Wyoming, Delaware, South Dakota, Rhode Island, Hawaii)</t>
  </si>
  <si>
    <t>Post-cutover freeze</t>
  </si>
  <si>
    <t>2 weeks: no target changes, exception screen watch-only, ledger frozen at cutover (--emit-ledger)</t>
  </si>
  <si>
    <t>Pre-cutover moves (exception track, executed separately)</t>
  </si>
  <si>
    <t>Pennsylvania &amp; Arizona -&gt; rehab/tightened posture; NM dual-campaign targeting cleanup</t>
  </si>
  <si>
    <t>Move schedule — every state, single cutover 2026-07-29</t>
  </si>
  <si>
    <t>Grouped by destination tier. 'moving' = physically changes shell at cutover. Below-gate states shown last (thin volume; placed by nearest tier).</t>
  </si>
  <si>
    <t>new tier</t>
  </si>
  <si>
    <t>state</t>
  </si>
  <si>
    <t>current tier</t>
  </si>
  <si>
    <t>to shell</t>
  </si>
  <si>
    <t>moving?</t>
  </si>
  <si>
    <t>spend</t>
  </si>
  <si>
    <t>conv</t>
  </si>
  <si>
    <t>RPL</t>
  </si>
  <si>
    <t>CPC</t>
  </si>
  <si>
    <t>GP/lead</t>
  </si>
  <si>
    <t>ROAS</t>
  </si>
  <si>
    <t>TIER ONE</t>
  </si>
  <si>
    <t>New Jersey</t>
  </si>
  <si>
    <t>TIER TWO</t>
  </si>
  <si>
    <t>T1 shell (existing Tier1RPL80Plus)</t>
  </si>
  <si>
    <t>yes</t>
  </si>
  <si>
    <t>Illinois</t>
  </si>
  <si>
    <t>Minnesota</t>
  </si>
  <si>
    <t>—</t>
  </si>
  <si>
    <t>Massachusetts</t>
  </si>
  <si>
    <t>TIER THREE</t>
  </si>
  <si>
    <t>Kansas</t>
  </si>
  <si>
    <t>New Mexico</t>
  </si>
  <si>
    <t>New Hampshire</t>
  </si>
  <si>
    <t>(below gate)</t>
  </si>
  <si>
    <t>TIER ONE subtotal</t>
  </si>
  <si>
    <t>6 moving</t>
  </si>
  <si>
    <t>Georgia</t>
  </si>
  <si>
    <t>T2 shell (existing Tier2RPL70Plus)</t>
  </si>
  <si>
    <t>Colorado</t>
  </si>
  <si>
    <t>Arizona</t>
  </si>
  <si>
    <t>Ohio</t>
  </si>
  <si>
    <t>Missouri</t>
  </si>
  <si>
    <t>Tennessee</t>
  </si>
  <si>
    <t>North Carolina</t>
  </si>
  <si>
    <t>Arkansas</t>
  </si>
  <si>
    <t>Utah</t>
  </si>
  <si>
    <t>Idaho</t>
  </si>
  <si>
    <t>Kentucky</t>
  </si>
  <si>
    <t>TIER TWO subtotal</t>
  </si>
  <si>
    <t>4 moving</t>
  </si>
  <si>
    <t>Pennsylvania</t>
  </si>
  <si>
    <t>T3 shell (existing Tier3RPL50Plus)</t>
  </si>
  <si>
    <t>Indiana</t>
  </si>
  <si>
    <t>Michigan</t>
  </si>
  <si>
    <t>Oklahoma</t>
  </si>
  <si>
    <t>Wisconsin</t>
  </si>
  <si>
    <t>Virginia</t>
  </si>
  <si>
    <t>Connecticut</t>
  </si>
  <si>
    <t>Alabama</t>
  </si>
  <si>
    <t>Maryland</t>
  </si>
  <si>
    <t>Washington</t>
  </si>
  <si>
    <t>Oregon</t>
  </si>
  <si>
    <t>Nebraska</t>
  </si>
  <si>
    <t>Iowa</t>
  </si>
  <si>
    <t>West Virginia</t>
  </si>
  <si>
    <t>TIER THREE subtotal</t>
  </si>
  <si>
    <t>7 moving</t>
  </si>
  <si>
    <t>TIER FOUR</t>
  </si>
  <si>
    <t>New York</t>
  </si>
  <si>
    <t>zz-RETIRED-HOME INSURANCE-TIER ONE-LEGACY-NB-SEARCH-ALL-USA-STE (23428389081)</t>
  </si>
  <si>
    <t>South Carolina</t>
  </si>
  <si>
    <t>Louisiana</t>
  </si>
  <si>
    <t>Nevada</t>
  </si>
  <si>
    <t>Mississippi</t>
  </si>
  <si>
    <t>Delaware</t>
  </si>
  <si>
    <t>Rhode Island</t>
  </si>
  <si>
    <t>Hawaii</t>
  </si>
  <si>
    <t>Wyoming</t>
  </si>
  <si>
    <t>South Dakota</t>
  </si>
  <si>
    <t>TIER FOUR subtotal</t>
  </si>
  <si>
    <t>10 moving</t>
  </si>
  <si>
    <t>Tier transition — current (rows) vs new RPL band (columns)</t>
  </si>
  <si>
    <t>Off-diagonal mass here reflects the AXIS change (margin-sorted tiers -&gt; value-sorted bands), not an error in either map. Read it as: where each current shell's spend lands on the value axis.</t>
  </si>
  <si>
    <t>Spend ($)</t>
  </si>
  <si>
    <t>current ↓ / new →</t>
  </si>
  <si>
    <t>total</t>
  </si>
  <si>
    <t>State count</t>
  </si>
  <si>
    <t>Shell plan — what each physical campaign becomes</t>
  </si>
  <si>
    <t>physical shell</t>
  </si>
  <si>
    <t>becomes</t>
  </si>
  <si>
    <t>states staying</t>
  </si>
  <si>
    <t>entering</t>
  </si>
  <si>
    <t>leaving (to elsewhere)</t>
  </si>
  <si>
    <t>resulting spend</t>
  </si>
  <si>
    <t>resulting wtd RPL</t>
  </si>
  <si>
    <t>resulting wtd ROAS</t>
  </si>
  <si>
    <t>New tier profile — value bands with current economics</t>
  </si>
  <si>
    <t>RPL defines the band (grouping axis); GP/ROAS shown as the current economics each band's tROAS floor must manage. Floors on the Targets &amp; Floors sheet.</t>
  </si>
  <si>
    <t>band</t>
  </si>
  <si>
    <t>states</t>
  </si>
  <si>
    <t>wtd RPL</t>
  </si>
  <si>
    <t>wtd CPL</t>
  </si>
  <si>
    <t>wtd GP/lead</t>
  </si>
  <si>
    <t>wtd ROAS</t>
  </si>
  <si>
    <t>premium value band</t>
  </si>
  <si>
    <t>upper-mid value band</t>
  </si>
  <si>
    <t>mid value band</t>
  </si>
  <si>
    <t>low value band</t>
  </si>
  <si>
    <t>tROAS floors — margin policy pending (editable)</t>
  </si>
  <si>
    <t>margin % (EDIT)</t>
  </si>
  <si>
    <t>tROAS floor</t>
  </si>
  <si>
    <t>implied max CPL</t>
  </si>
  <si>
    <t>current realized ROAS</t>
  </si>
  <si>
    <t>gap to floor</t>
  </si>
  <si>
    <t>step plan</t>
  </si>
  <si>
    <t>launch at current effective target; step 15-20% toward floor, &gt;=1wk apart</t>
  </si>
  <si>
    <t>Exception screen — day-one watch list</t>
  </si>
  <si>
    <t>lands in</t>
  </si>
  <si>
    <t>flag</t>
  </si>
  <si>
    <t>evidence (July reads)</t>
  </si>
  <si>
    <t>likely disposition</t>
  </si>
  <si>
    <t>review</t>
  </si>
  <si>
    <t>negative margin entering premium band</t>
  </si>
  <si>
    <t>persistent negative GP/lead at high RPL; expensive clicks</t>
  </si>
  <si>
    <t>per-state target exception or rehab if floor unmet</t>
  </si>
  <si>
    <t>cycle 1</t>
  </si>
  <si>
    <t>pre-cutover exception (executed)</t>
  </si>
  <si>
    <t>-$50/lead recent, 88% bootstrap, deteriorating</t>
  </si>
  <si>
    <t>persistent negative margin; value recovered, cost did not</t>
  </si>
  <si>
    <t>strong earner in low band</t>
  </si>
  <si>
    <t>~1.3-1.4 ROAS at modest RPL</t>
  </si>
  <si>
    <t>upward posture exception once floors live</t>
  </si>
  <si>
    <t>cycle 1-2</t>
  </si>
  <si>
    <t>recovered to ~1.2-1.4 ROAS (July reads)</t>
  </si>
  <si>
    <t>largest spend at ~breakeven, slipping</t>
  </si>
  <si>
    <t>0.90-1.03 ROAS on top tiered spend</t>
  </si>
  <si>
    <t>repair-in-place (query/device surgery), not a tier move</t>
  </si>
  <si>
    <t>ongoing</t>
  </si>
  <si>
    <t>Risks, sequencing &amp; controls</t>
  </si>
  <si>
    <t>Single cutover, by design</t>
  </si>
  <si>
    <t>20 of 35 readable states change shells — a majority-move restructure. Phasing a majority-move map means weeks of mixed-regime shells and staggered learning resets (the June rollout demonstrated this: three staggered resets, contaminated measurement). One synchronized event = one turbulence window, one clean before/after.</t>
  </si>
  <si>
    <t>Bidder learning reset</t>
  </si>
  <si>
    <t>All shells reset at cutover (~1-2 weeks). FREEZE: no target changes and exception screen watch-only for 2 weeks post-cutover. Do not grade the structure on the freeze window.</t>
  </si>
  <si>
    <t>Targets phase, membership doesn't</t>
  </si>
  <si>
    <t>Launch each shell near its current effective aggressiveness; step toward the policy floors 15-20% per adjustment, &gt;=1 week apart. Large single target jumps caused the May-June overcorrection.</t>
  </si>
  <si>
    <t>Ledger frozen at cutover</t>
  </si>
  <si>
    <t>Run the model with --emit-ledger on cutover day against the final as-built export. The new structure starts with a commitment ledger from day one; all future runs compare against it.</t>
  </si>
  <si>
    <t>Relabel + id stability</t>
  </si>
  <si>
    <t>Fresh location export first</t>
  </si>
  <si>
    <t>Re-enabled shell hygiene</t>
  </si>
  <si>
    <t>The retired shell is re-enabled with its OLD contents intact: audit and reset before cutover — location targets (strip all old states), keywords/negatives (align to current library), budget, and especially its old tROAS setting (it will resume at its retirement-era target unless changed). A paused campaign may not appear in an enabled-only location export — pull it explicitly and confirm its campaign_id for the change set.</t>
  </si>
  <si>
    <t>Below-gate states</t>
  </si>
  <si>
    <t>Thin states placed by nearest-tier (shrunk where available) and folded in at cutover — no separate wave. They carry no launch-target weight.</t>
  </si>
  <si>
    <t>Don't stack levers</t>
  </si>
  <si>
    <t>Re-cluster states by RPL into 4 value bands; margin control moves to per-tier tROAS floors (Targets &amp; Floors sheet — margin %s pending leadership sign-off). MEMBERSHIP CUTS OVER ALL AT ONCE on 2026-07-29; TARGETS then step toward their floors gradually (no repeat of the May single-jump tightening). CA/TX/FL standalone, untouched. Generated Jul 28, 2026.</t>
  </si>
  <si>
    <t>Floor = 1/(1 - margin). Enter leadership's chosen margin per band in the blue cells; floor, max CPL and gap-to-current recompute live. Floors are MINIMUM targets. LAUNCH each shell at ~its current effective target, then STEP toward the floor 15-20% per adjustment, &gt;=1 week between steps — target moves are phased even though membership is not.</t>
  </si>
  <si>
    <t>The RPL bands sort VALUE; the biweekly GP exception screen handles POSTURE. These states enter the new structure already flagged (evidence from the instrumented July reads). Screen is watch-only during the 2-week post-cutover freeze.</t>
  </si>
  <si>
    <t>Assignment verified optimal on BOTH metrics: the identity mapping keeps $29.5K of $62.5K readable spend (47%) and 15 of 35 states stationary. The 20 moves are the axis change itself, irreducible by shell choice. TIER FOUR RE-ENABLES the shell retired at the July T3/T4 consolidation rather than creating a new campaign — campaign history carries into the bidder's context and the account returns to its pre-consolidation shell count. Relabel each shell at cutover (80Plus/70Plus/50Plus) that no longer match the new boundaries and would mislead reporting; campaign_id remains the stable key.</t>
  </si>
  <si>
    <t>Relabel each shell at cutover. campaign_id is the analysis key; update any name-parsing logic the same day.</t>
  </si>
  <si>
    <t>Iron rule: pull a fresh campaign-location export immediately before building the change set; audit for dual-targeting and orphaned states.</t>
  </si>
  <si>
    <t>No keyword/geo/budget surgery on tiered shells within the freeze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</si>
</sst>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;\(\$#,##0.0\)"/>
    <numFmt numFmtId="166" formatCode="\$#,##0.0"/>
  </numFmts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9"/>
      <color rgb="FF595959"/>
      <name val="Arial"/>
      <family val="2"/>
    </font>
    <font>
      <b/>
      <sz val="11"/>
      <color rgb="FF1F4E7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3" borderId="1" xfId="0" applyFont="1" applyFill="1" applyBorder="1"/>
    <xf numFmtId="164" fontId="5" fillId="0" borderId="1" xfId="0" applyNumberFormat="1" applyFont="1" applyBorder="1"/>
    <xf numFmtId="2" fontId="5" fillId="0" borderId="1" xfId="0" applyNumberFormat="1" applyFont="1" applyBorder="1"/>
    <xf numFmtId="165" fontId="5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2" fontId="4" fillId="4" borderId="1" xfId="0" applyNumberFormat="1" applyFont="1" applyFill="1" applyBorder="1"/>
    <xf numFmtId="165" fontId="4" fillId="4" borderId="1" xfId="0" applyNumberFormat="1" applyFont="1" applyFill="1" applyBorder="1"/>
    <xf numFmtId="0" fontId="6" fillId="2" borderId="1" xfId="0" applyFont="1" applyFill="1" applyBorder="1"/>
    <xf numFmtId="164" fontId="0" fillId="0" borderId="1" xfId="0" applyNumberFormat="1" applyBorder="1"/>
    <xf numFmtId="164" fontId="4" fillId="0" borderId="1" xfId="0" applyNumberFormat="1" applyFont="1" applyBorder="1"/>
    <xf numFmtId="1" fontId="0" fillId="0" borderId="1" xfId="0" applyNumberFormat="1" applyBorder="1"/>
    <xf numFmtId="1" fontId="4" fillId="0" borderId="1" xfId="0" applyNumberFormat="1" applyFont="1" applyBorder="1"/>
    <xf numFmtId="0" fontId="2" fillId="0" borderId="1" xfId="0" applyFont="1" applyBorder="1"/>
    <xf numFmtId="9" fontId="7" fillId="5" borderId="1" xfId="0" applyNumberFormat="1" applyFont="1" applyFill="1" applyBorder="1"/>
    <xf numFmtId="9" fontId="5" fillId="0" borderId="1" xfId="0" applyNumberFormat="1" applyFont="1" applyBorder="1"/>
    <xf numFmtId="166" fontId="5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4" borderId="0" xfId="0" applyFont="1" applyFill="1"/>
    <xf numFmtId="0" fontId="5" fillId="0" borderId="0" xfId="0" applyFont="1"/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3" topLeftCell="A4" activePane="bottomLeft" state="frozen"/>
      <selection pane="bottomLeft" activeCell="C5" sqref="C5:H5"/>
    </sheetView>
  </sheetViews>
  <sheetFormatPr defaultRowHeight="15" x14ac:dyDescent="0.25"/>
  <cols>
    <col min="1" max="1" width="42" customWidth="1"/>
  </cols>
  <sheetData>
    <row r="1" spans="1:8" ht="18" x14ac:dyDescent="0.25">
      <c r="A1" s="1" t="s">
        <v>0</v>
      </c>
    </row>
    <row r="2" spans="1:8" ht="51.95" customHeight="1" x14ac:dyDescent="0.25">
      <c r="A2" s="28" t="s">
        <v>165</v>
      </c>
      <c r="B2" s="27"/>
      <c r="C2" s="27"/>
      <c r="D2" s="27"/>
      <c r="E2" s="27"/>
      <c r="F2" s="27"/>
      <c r="G2" s="27"/>
      <c r="H2" s="27"/>
    </row>
    <row r="4" spans="1:8" x14ac:dyDescent="0.25">
      <c r="A4" s="2" t="s">
        <v>1</v>
      </c>
    </row>
    <row r="5" spans="1:8" x14ac:dyDescent="0.25">
      <c r="A5" s="3" t="s">
        <v>2</v>
      </c>
      <c r="C5" s="26" t="s">
        <v>3</v>
      </c>
      <c r="D5" s="27"/>
      <c r="E5" s="27"/>
      <c r="F5" s="27"/>
      <c r="G5" s="27"/>
      <c r="H5" s="27"/>
    </row>
    <row r="6" spans="1:8" x14ac:dyDescent="0.25">
      <c r="A6" s="3" t="s">
        <v>4</v>
      </c>
      <c r="C6" s="26" t="s">
        <v>5</v>
      </c>
      <c r="D6" s="27"/>
      <c r="E6" s="27"/>
      <c r="F6" s="27"/>
      <c r="G6" s="27"/>
      <c r="H6" s="27"/>
    </row>
    <row r="7" spans="1:8" x14ac:dyDescent="0.25">
      <c r="A7" s="3" t="s">
        <v>6</v>
      </c>
      <c r="C7" s="26" t="s">
        <v>7</v>
      </c>
      <c r="D7" s="27"/>
      <c r="E7" s="27"/>
      <c r="F7" s="27"/>
      <c r="G7" s="27"/>
      <c r="H7" s="27"/>
    </row>
    <row r="8" spans="1:8" x14ac:dyDescent="0.25">
      <c r="A8" s="3" t="s">
        <v>8</v>
      </c>
      <c r="C8" s="26" t="s">
        <v>9</v>
      </c>
      <c r="D8" s="27"/>
      <c r="E8" s="27"/>
      <c r="F8" s="27"/>
      <c r="G8" s="27"/>
      <c r="H8" s="27"/>
    </row>
    <row r="9" spans="1:8" x14ac:dyDescent="0.25">
      <c r="A9" s="3" t="s">
        <v>10</v>
      </c>
      <c r="C9" s="26" t="s">
        <v>11</v>
      </c>
      <c r="D9" s="27"/>
      <c r="E9" s="27"/>
      <c r="F9" s="27"/>
      <c r="G9" s="27"/>
      <c r="H9" s="27"/>
    </row>
    <row r="10" spans="1:8" x14ac:dyDescent="0.25">
      <c r="A10" s="3" t="s">
        <v>12</v>
      </c>
      <c r="C10" s="26" t="s">
        <v>13</v>
      </c>
      <c r="D10" s="27"/>
      <c r="E10" s="27"/>
      <c r="F10" s="27"/>
      <c r="G10" s="27"/>
      <c r="H10" s="27"/>
    </row>
    <row r="11" spans="1:8" x14ac:dyDescent="0.25">
      <c r="A11" s="3" t="s">
        <v>14</v>
      </c>
      <c r="C11" s="26" t="s">
        <v>15</v>
      </c>
      <c r="D11" s="27"/>
      <c r="E11" s="27"/>
      <c r="F11" s="27"/>
      <c r="G11" s="27"/>
      <c r="H11" s="27"/>
    </row>
    <row r="12" spans="1:8" x14ac:dyDescent="0.25">
      <c r="A12" s="3" t="s">
        <v>16</v>
      </c>
      <c r="C12" s="26" t="s">
        <v>17</v>
      </c>
      <c r="D12" s="27"/>
      <c r="E12" s="27"/>
      <c r="F12" s="27"/>
      <c r="G12" s="27"/>
      <c r="H12" s="27"/>
    </row>
  </sheetData>
  <mergeCells count="9">
    <mergeCell ref="C12:H12"/>
    <mergeCell ref="C7:H7"/>
    <mergeCell ref="C11:H11"/>
    <mergeCell ref="C6:H6"/>
    <mergeCell ref="C10:H10"/>
    <mergeCell ref="C5:H5"/>
    <mergeCell ref="A2:H2"/>
    <mergeCell ref="C9:H9"/>
    <mergeCell ref="C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4.5703125" customWidth="1"/>
    <col min="4" max="4" width="39.85546875" customWidth="1"/>
    <col min="5" max="5" width="11.42578125" customWidth="1"/>
    <col min="6" max="6" width="11" customWidth="1"/>
    <col min="7" max="7" width="7" customWidth="1"/>
    <col min="8" max="8" width="8" customWidth="1"/>
    <col min="9" max="9" width="7" customWidth="1"/>
    <col min="10" max="10" width="10" customWidth="1"/>
    <col min="11" max="11" width="7" customWidth="1"/>
  </cols>
  <sheetData>
    <row r="1" spans="1:11" ht="18" x14ac:dyDescent="0.25">
      <c r="A1" s="1" t="s">
        <v>18</v>
      </c>
    </row>
    <row r="2" spans="1:11" ht="27.95" customHeight="1" x14ac:dyDescent="0.25">
      <c r="A2" s="28" t="s">
        <v>19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30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</row>
    <row r="5" spans="1:11" x14ac:dyDescent="0.25">
      <c r="A5" s="5" t="s">
        <v>31</v>
      </c>
      <c r="B5" s="5" t="s">
        <v>32</v>
      </c>
      <c r="C5" s="5" t="s">
        <v>33</v>
      </c>
      <c r="D5" s="5" t="s">
        <v>34</v>
      </c>
      <c r="E5" s="6" t="s">
        <v>35</v>
      </c>
      <c r="F5" s="7">
        <v>6222</v>
      </c>
      <c r="G5" s="5">
        <v>73</v>
      </c>
      <c r="H5" s="8">
        <v>94.4</v>
      </c>
      <c r="I5" s="8">
        <v>9.74</v>
      </c>
      <c r="J5" s="9">
        <v>9.6</v>
      </c>
      <c r="K5" s="8">
        <v>1.1100000000000001</v>
      </c>
    </row>
    <row r="6" spans="1:11" x14ac:dyDescent="0.25">
      <c r="A6" s="5" t="s">
        <v>31</v>
      </c>
      <c r="B6" s="5" t="s">
        <v>36</v>
      </c>
      <c r="C6" s="5" t="s">
        <v>33</v>
      </c>
      <c r="D6" s="5" t="s">
        <v>34</v>
      </c>
      <c r="E6" s="6" t="s">
        <v>35</v>
      </c>
      <c r="F6" s="7">
        <v>4951</v>
      </c>
      <c r="G6" s="5">
        <v>64</v>
      </c>
      <c r="H6" s="8">
        <v>77.400000000000006</v>
      </c>
      <c r="I6" s="8">
        <v>8.4499999999999993</v>
      </c>
      <c r="J6" s="9">
        <v>0</v>
      </c>
      <c r="K6" s="8">
        <v>1</v>
      </c>
    </row>
    <row r="7" spans="1:11" x14ac:dyDescent="0.25">
      <c r="A7" s="5" t="s">
        <v>31</v>
      </c>
      <c r="B7" s="5" t="s">
        <v>37</v>
      </c>
      <c r="C7" s="5" t="s">
        <v>31</v>
      </c>
      <c r="D7" s="5" t="s">
        <v>34</v>
      </c>
      <c r="E7" s="5" t="s">
        <v>38</v>
      </c>
      <c r="F7" s="7">
        <v>1806</v>
      </c>
      <c r="G7" s="5">
        <v>33</v>
      </c>
      <c r="H7" s="8">
        <v>81.3</v>
      </c>
      <c r="I7" s="8">
        <v>8.77</v>
      </c>
      <c r="J7" s="9">
        <v>26.6</v>
      </c>
      <c r="K7" s="8">
        <v>1.49</v>
      </c>
    </row>
    <row r="8" spans="1:11" x14ac:dyDescent="0.25">
      <c r="A8" s="5" t="s">
        <v>31</v>
      </c>
      <c r="B8" s="5" t="s">
        <v>39</v>
      </c>
      <c r="C8" s="5" t="s">
        <v>40</v>
      </c>
      <c r="D8" s="5" t="s">
        <v>34</v>
      </c>
      <c r="E8" s="6" t="s">
        <v>35</v>
      </c>
      <c r="F8" s="7">
        <v>1343</v>
      </c>
      <c r="G8" s="5">
        <v>16</v>
      </c>
      <c r="H8" s="8">
        <v>78.599999999999994</v>
      </c>
      <c r="I8" s="8">
        <v>10.1</v>
      </c>
      <c r="J8" s="9">
        <v>-5.3</v>
      </c>
      <c r="K8" s="8">
        <v>0.94</v>
      </c>
    </row>
    <row r="9" spans="1:11" x14ac:dyDescent="0.25">
      <c r="A9" s="5" t="s">
        <v>31</v>
      </c>
      <c r="B9" s="5" t="s">
        <v>41</v>
      </c>
      <c r="C9" s="5" t="s">
        <v>33</v>
      </c>
      <c r="D9" s="5" t="s">
        <v>34</v>
      </c>
      <c r="E9" s="6" t="s">
        <v>35</v>
      </c>
      <c r="F9" s="7">
        <v>1031</v>
      </c>
      <c r="G9" s="5">
        <v>19</v>
      </c>
      <c r="H9" s="8">
        <v>83.1</v>
      </c>
      <c r="I9" s="8">
        <v>7.26</v>
      </c>
      <c r="J9" s="9">
        <v>28.8</v>
      </c>
      <c r="K9" s="8">
        <v>1.53</v>
      </c>
    </row>
    <row r="10" spans="1:11" x14ac:dyDescent="0.25">
      <c r="A10" s="5" t="s">
        <v>31</v>
      </c>
      <c r="B10" s="5" t="s">
        <v>42</v>
      </c>
      <c r="C10" s="5" t="s">
        <v>33</v>
      </c>
      <c r="D10" s="5" t="s">
        <v>34</v>
      </c>
      <c r="E10" s="6" t="s">
        <v>35</v>
      </c>
      <c r="F10" s="7">
        <v>656</v>
      </c>
      <c r="G10" s="5">
        <v>12</v>
      </c>
      <c r="H10" s="8">
        <v>76.3</v>
      </c>
      <c r="I10" s="8">
        <v>7.2</v>
      </c>
      <c r="J10" s="9">
        <v>21.7</v>
      </c>
      <c r="K10" s="8">
        <v>1.4</v>
      </c>
    </row>
    <row r="11" spans="1:11" x14ac:dyDescent="0.25">
      <c r="A11" s="5" t="s">
        <v>31</v>
      </c>
      <c r="B11" s="5" t="s">
        <v>43</v>
      </c>
      <c r="C11" s="5" t="s">
        <v>44</v>
      </c>
      <c r="D11" s="5" t="s">
        <v>34</v>
      </c>
      <c r="E11" s="6" t="s">
        <v>35</v>
      </c>
      <c r="F11" s="7">
        <v>368</v>
      </c>
      <c r="G11" s="5">
        <v>4</v>
      </c>
      <c r="H11" s="8">
        <v>155.5</v>
      </c>
      <c r="I11" s="8">
        <v>9.9499999999999993</v>
      </c>
      <c r="J11" s="9">
        <v>63.5</v>
      </c>
      <c r="K11" s="8">
        <v>1.69</v>
      </c>
    </row>
    <row r="12" spans="1:11" x14ac:dyDescent="0.25">
      <c r="A12" s="10" t="s">
        <v>45</v>
      </c>
      <c r="B12" s="10"/>
      <c r="C12" s="10"/>
      <c r="D12" s="10"/>
      <c r="E12" s="10" t="s">
        <v>46</v>
      </c>
      <c r="F12" s="11">
        <v>16376</v>
      </c>
      <c r="G12" s="10">
        <v>221</v>
      </c>
      <c r="H12" s="12">
        <v>85.5</v>
      </c>
      <c r="I12" s="10"/>
      <c r="J12" s="13">
        <v>11.6</v>
      </c>
      <c r="K12" s="12">
        <v>1.1599999999999999</v>
      </c>
    </row>
    <row r="13" spans="1:11" x14ac:dyDescent="0.25">
      <c r="A13" s="5" t="s">
        <v>33</v>
      </c>
      <c r="B13" s="5" t="s">
        <v>47</v>
      </c>
      <c r="C13" s="5" t="s">
        <v>33</v>
      </c>
      <c r="D13" s="5" t="s">
        <v>48</v>
      </c>
      <c r="E13" s="5" t="s">
        <v>38</v>
      </c>
      <c r="F13" s="7">
        <v>8721</v>
      </c>
      <c r="G13" s="5">
        <v>140</v>
      </c>
      <c r="H13" s="8">
        <v>63.7</v>
      </c>
      <c r="I13" s="8">
        <v>7.79</v>
      </c>
      <c r="J13" s="9">
        <v>1.4</v>
      </c>
      <c r="K13" s="8">
        <v>1.02</v>
      </c>
    </row>
    <row r="14" spans="1:11" x14ac:dyDescent="0.25">
      <c r="A14" s="5" t="s">
        <v>33</v>
      </c>
      <c r="B14" s="5" t="s">
        <v>49</v>
      </c>
      <c r="C14" s="5" t="s">
        <v>40</v>
      </c>
      <c r="D14" s="5" t="s">
        <v>48</v>
      </c>
      <c r="E14" s="6" t="s">
        <v>35</v>
      </c>
      <c r="F14" s="7">
        <v>2810</v>
      </c>
      <c r="G14" s="5">
        <v>38</v>
      </c>
      <c r="H14" s="8">
        <v>70.099999999999994</v>
      </c>
      <c r="I14" s="8">
        <v>10.41</v>
      </c>
      <c r="J14" s="9">
        <v>-3.8</v>
      </c>
      <c r="K14" s="8">
        <v>0.95</v>
      </c>
    </row>
    <row r="15" spans="1:11" x14ac:dyDescent="0.25">
      <c r="A15" s="5" t="s">
        <v>33</v>
      </c>
      <c r="B15" s="5" t="s">
        <v>50</v>
      </c>
      <c r="C15" s="5" t="s">
        <v>33</v>
      </c>
      <c r="D15" s="5" t="s">
        <v>48</v>
      </c>
      <c r="E15" s="5" t="s">
        <v>38</v>
      </c>
      <c r="F15" s="7">
        <v>2648</v>
      </c>
      <c r="G15" s="5">
        <v>30</v>
      </c>
      <c r="H15" s="8">
        <v>69.3</v>
      </c>
      <c r="I15" s="8">
        <v>7.97</v>
      </c>
      <c r="J15" s="9">
        <v>-18.899999999999999</v>
      </c>
      <c r="K15" s="8">
        <v>0.79</v>
      </c>
    </row>
    <row r="16" spans="1:11" x14ac:dyDescent="0.25">
      <c r="A16" s="5" t="s">
        <v>33</v>
      </c>
      <c r="B16" s="5" t="s">
        <v>51</v>
      </c>
      <c r="C16" s="5" t="s">
        <v>31</v>
      </c>
      <c r="D16" s="5" t="s">
        <v>48</v>
      </c>
      <c r="E16" s="6" t="s">
        <v>35</v>
      </c>
      <c r="F16" s="7">
        <v>2599</v>
      </c>
      <c r="G16" s="5">
        <v>43</v>
      </c>
      <c r="H16" s="8">
        <v>65.099999999999994</v>
      </c>
      <c r="I16" s="8">
        <v>8.3800000000000008</v>
      </c>
      <c r="J16" s="9">
        <v>5.4</v>
      </c>
      <c r="K16" s="8">
        <v>1.0900000000000001</v>
      </c>
    </row>
    <row r="17" spans="1:11" x14ac:dyDescent="0.25">
      <c r="A17" s="5" t="s">
        <v>33</v>
      </c>
      <c r="B17" s="5" t="s">
        <v>52</v>
      </c>
      <c r="C17" s="5" t="s">
        <v>33</v>
      </c>
      <c r="D17" s="5" t="s">
        <v>48</v>
      </c>
      <c r="E17" s="5" t="s">
        <v>38</v>
      </c>
      <c r="F17" s="7">
        <v>2436</v>
      </c>
      <c r="G17" s="5">
        <v>34</v>
      </c>
      <c r="H17" s="8">
        <v>67.099999999999994</v>
      </c>
      <c r="I17" s="8">
        <v>7.88</v>
      </c>
      <c r="J17" s="9">
        <v>-4.5999999999999996</v>
      </c>
      <c r="K17" s="8">
        <v>0.94</v>
      </c>
    </row>
    <row r="18" spans="1:11" x14ac:dyDescent="0.25">
      <c r="A18" s="5" t="s">
        <v>33</v>
      </c>
      <c r="B18" s="5" t="s">
        <v>53</v>
      </c>
      <c r="C18" s="5" t="s">
        <v>33</v>
      </c>
      <c r="D18" s="5" t="s">
        <v>48</v>
      </c>
      <c r="E18" s="5" t="s">
        <v>38</v>
      </c>
      <c r="F18" s="7">
        <v>2406</v>
      </c>
      <c r="G18" s="5">
        <v>42</v>
      </c>
      <c r="H18" s="8">
        <v>64.8</v>
      </c>
      <c r="I18" s="8">
        <v>7.73</v>
      </c>
      <c r="J18" s="9">
        <v>7.5</v>
      </c>
      <c r="K18" s="8">
        <v>1.1299999999999999</v>
      </c>
    </row>
    <row r="19" spans="1:11" x14ac:dyDescent="0.25">
      <c r="A19" s="5" t="s">
        <v>33</v>
      </c>
      <c r="B19" s="5" t="s">
        <v>54</v>
      </c>
      <c r="C19" s="5" t="s">
        <v>33</v>
      </c>
      <c r="D19" s="5" t="s">
        <v>48</v>
      </c>
      <c r="E19" s="5" t="s">
        <v>38</v>
      </c>
      <c r="F19" s="7">
        <v>2282</v>
      </c>
      <c r="G19" s="5">
        <v>53</v>
      </c>
      <c r="H19" s="8">
        <v>67.3</v>
      </c>
      <c r="I19" s="8">
        <v>6.73</v>
      </c>
      <c r="J19" s="9">
        <v>24.3</v>
      </c>
      <c r="K19" s="8">
        <v>1.56</v>
      </c>
    </row>
    <row r="20" spans="1:11" x14ac:dyDescent="0.25">
      <c r="A20" s="5" t="s">
        <v>33</v>
      </c>
      <c r="B20" s="5" t="s">
        <v>55</v>
      </c>
      <c r="C20" s="5" t="s">
        <v>33</v>
      </c>
      <c r="D20" s="5" t="s">
        <v>48</v>
      </c>
      <c r="E20" s="5" t="s">
        <v>38</v>
      </c>
      <c r="F20" s="7">
        <v>896</v>
      </c>
      <c r="G20" s="5">
        <v>22</v>
      </c>
      <c r="H20" s="8">
        <v>66.5</v>
      </c>
      <c r="I20" s="8">
        <v>8.2200000000000006</v>
      </c>
      <c r="J20" s="9">
        <v>25.8</v>
      </c>
      <c r="K20" s="8">
        <v>1.63</v>
      </c>
    </row>
    <row r="21" spans="1:11" x14ac:dyDescent="0.25">
      <c r="A21" s="5" t="s">
        <v>33</v>
      </c>
      <c r="B21" s="5" t="s">
        <v>56</v>
      </c>
      <c r="C21" s="5" t="s">
        <v>31</v>
      </c>
      <c r="D21" s="5" t="s">
        <v>48</v>
      </c>
      <c r="E21" s="6" t="s">
        <v>35</v>
      </c>
      <c r="F21" s="7">
        <v>544</v>
      </c>
      <c r="G21" s="5">
        <v>12</v>
      </c>
      <c r="H21" s="8">
        <v>62.6</v>
      </c>
      <c r="I21" s="8">
        <v>10.07</v>
      </c>
      <c r="J21" s="9">
        <v>17.3</v>
      </c>
      <c r="K21" s="8">
        <v>1.38</v>
      </c>
    </row>
    <row r="22" spans="1:11" x14ac:dyDescent="0.25">
      <c r="A22" s="5" t="s">
        <v>33</v>
      </c>
      <c r="B22" s="5" t="s">
        <v>57</v>
      </c>
      <c r="C22" s="5" t="s">
        <v>33</v>
      </c>
      <c r="D22" s="5" t="s">
        <v>48</v>
      </c>
      <c r="E22" s="5" t="s">
        <v>38</v>
      </c>
      <c r="F22" s="7">
        <v>532</v>
      </c>
      <c r="G22" s="5">
        <v>9</v>
      </c>
      <c r="H22" s="8">
        <v>58.7</v>
      </c>
      <c r="I22" s="8">
        <v>9.34</v>
      </c>
      <c r="J22" s="9">
        <v>-0.4</v>
      </c>
      <c r="K22" s="8">
        <v>0.99</v>
      </c>
    </row>
    <row r="23" spans="1:11" x14ac:dyDescent="0.25">
      <c r="A23" s="5" t="s">
        <v>33</v>
      </c>
      <c r="B23" s="5" t="s">
        <v>58</v>
      </c>
      <c r="C23" s="5" t="s">
        <v>40</v>
      </c>
      <c r="D23" s="5" t="s">
        <v>48</v>
      </c>
      <c r="E23" s="6" t="s">
        <v>35</v>
      </c>
      <c r="F23" s="7">
        <v>460</v>
      </c>
      <c r="G23" s="5">
        <v>12</v>
      </c>
      <c r="H23" s="8">
        <v>68.099999999999994</v>
      </c>
      <c r="I23" s="8">
        <v>7.43</v>
      </c>
      <c r="J23" s="9">
        <v>29.7</v>
      </c>
      <c r="K23" s="8">
        <v>1.78</v>
      </c>
    </row>
    <row r="24" spans="1:11" x14ac:dyDescent="0.25">
      <c r="A24" s="10" t="s">
        <v>59</v>
      </c>
      <c r="B24" s="10"/>
      <c r="C24" s="10"/>
      <c r="D24" s="10"/>
      <c r="E24" s="10" t="s">
        <v>60</v>
      </c>
      <c r="F24" s="11">
        <v>26333</v>
      </c>
      <c r="G24" s="10">
        <v>435</v>
      </c>
      <c r="H24" s="12">
        <v>65.7</v>
      </c>
      <c r="I24" s="10"/>
      <c r="J24" s="13">
        <v>5.3</v>
      </c>
      <c r="K24" s="12">
        <v>1.0900000000000001</v>
      </c>
    </row>
    <row r="25" spans="1:11" x14ac:dyDescent="0.25">
      <c r="A25" s="5" t="s">
        <v>40</v>
      </c>
      <c r="B25" s="5" t="s">
        <v>61</v>
      </c>
      <c r="C25" s="5" t="s">
        <v>33</v>
      </c>
      <c r="D25" s="5" t="s">
        <v>62</v>
      </c>
      <c r="E25" s="6" t="s">
        <v>35</v>
      </c>
      <c r="F25" s="7">
        <v>2959</v>
      </c>
      <c r="G25" s="5">
        <v>42</v>
      </c>
      <c r="H25" s="8">
        <v>52.3</v>
      </c>
      <c r="I25" s="8">
        <v>8.58</v>
      </c>
      <c r="J25" s="9">
        <v>-17.3</v>
      </c>
      <c r="K25" s="8">
        <v>0.75</v>
      </c>
    </row>
    <row r="26" spans="1:11" x14ac:dyDescent="0.25">
      <c r="A26" s="5" t="s">
        <v>40</v>
      </c>
      <c r="B26" s="5" t="s">
        <v>63</v>
      </c>
      <c r="C26" s="5" t="s">
        <v>40</v>
      </c>
      <c r="D26" s="5" t="s">
        <v>62</v>
      </c>
      <c r="E26" s="5" t="s">
        <v>38</v>
      </c>
      <c r="F26" s="7">
        <v>1779</v>
      </c>
      <c r="G26" s="5">
        <v>31</v>
      </c>
      <c r="H26" s="8">
        <v>53</v>
      </c>
      <c r="I26" s="8">
        <v>9.0299999999999994</v>
      </c>
      <c r="J26" s="9">
        <v>-4.4000000000000004</v>
      </c>
      <c r="K26" s="8">
        <v>0.92</v>
      </c>
    </row>
    <row r="27" spans="1:11" x14ac:dyDescent="0.25">
      <c r="A27" s="5" t="s">
        <v>40</v>
      </c>
      <c r="B27" s="5" t="s">
        <v>64</v>
      </c>
      <c r="C27" s="5" t="s">
        <v>40</v>
      </c>
      <c r="D27" s="5" t="s">
        <v>62</v>
      </c>
      <c r="E27" s="5" t="s">
        <v>38</v>
      </c>
      <c r="F27" s="7">
        <v>1747</v>
      </c>
      <c r="G27" s="5">
        <v>32</v>
      </c>
      <c r="H27" s="8">
        <v>45.8</v>
      </c>
      <c r="I27" s="8">
        <v>8.1999999999999993</v>
      </c>
      <c r="J27" s="9">
        <v>-8.8000000000000007</v>
      </c>
      <c r="K27" s="8">
        <v>0.84</v>
      </c>
    </row>
    <row r="28" spans="1:11" x14ac:dyDescent="0.25">
      <c r="A28" s="5" t="s">
        <v>40</v>
      </c>
      <c r="B28" s="5" t="s">
        <v>65</v>
      </c>
      <c r="C28" s="5" t="s">
        <v>33</v>
      </c>
      <c r="D28" s="5" t="s">
        <v>62</v>
      </c>
      <c r="E28" s="6" t="s">
        <v>35</v>
      </c>
      <c r="F28" s="7">
        <v>1496</v>
      </c>
      <c r="G28" s="5">
        <v>32</v>
      </c>
      <c r="H28" s="8">
        <v>50.2</v>
      </c>
      <c r="I28" s="8">
        <v>7.83</v>
      </c>
      <c r="J28" s="9">
        <v>3.5</v>
      </c>
      <c r="K28" s="8">
        <v>1.07</v>
      </c>
    </row>
    <row r="29" spans="1:11" x14ac:dyDescent="0.25">
      <c r="A29" s="5" t="s">
        <v>40</v>
      </c>
      <c r="B29" s="5" t="s">
        <v>66</v>
      </c>
      <c r="C29" s="5" t="s">
        <v>31</v>
      </c>
      <c r="D29" s="5" t="s">
        <v>62</v>
      </c>
      <c r="E29" s="6" t="s">
        <v>35</v>
      </c>
      <c r="F29" s="7">
        <v>1349</v>
      </c>
      <c r="G29" s="5">
        <v>25</v>
      </c>
      <c r="H29" s="8">
        <v>54.4</v>
      </c>
      <c r="I29" s="8">
        <v>7.75</v>
      </c>
      <c r="J29" s="9">
        <v>0.4</v>
      </c>
      <c r="K29" s="8">
        <v>1.01</v>
      </c>
    </row>
    <row r="30" spans="1:11" x14ac:dyDescent="0.25">
      <c r="A30" s="5" t="s">
        <v>40</v>
      </c>
      <c r="B30" s="5" t="s">
        <v>67</v>
      </c>
      <c r="C30" s="5" t="s">
        <v>40</v>
      </c>
      <c r="D30" s="5" t="s">
        <v>62</v>
      </c>
      <c r="E30" s="5" t="s">
        <v>38</v>
      </c>
      <c r="F30" s="7">
        <v>1236</v>
      </c>
      <c r="G30" s="5">
        <v>19</v>
      </c>
      <c r="H30" s="8">
        <v>44.9</v>
      </c>
      <c r="I30" s="8">
        <v>7.4</v>
      </c>
      <c r="J30" s="9">
        <v>-20.100000000000001</v>
      </c>
      <c r="K30" s="8">
        <v>0.69</v>
      </c>
    </row>
    <row r="31" spans="1:11" x14ac:dyDescent="0.25">
      <c r="A31" s="5" t="s">
        <v>40</v>
      </c>
      <c r="B31" s="5" t="s">
        <v>68</v>
      </c>
      <c r="C31" s="5" t="s">
        <v>40</v>
      </c>
      <c r="D31" s="5" t="s">
        <v>62</v>
      </c>
      <c r="E31" s="5" t="s">
        <v>38</v>
      </c>
      <c r="F31" s="7">
        <v>1168</v>
      </c>
      <c r="G31" s="5">
        <v>27</v>
      </c>
      <c r="H31" s="8">
        <v>45.9</v>
      </c>
      <c r="I31" s="8">
        <v>9.1199999999999992</v>
      </c>
      <c r="J31" s="9">
        <v>2.7</v>
      </c>
      <c r="K31" s="8">
        <v>1.06</v>
      </c>
    </row>
    <row r="32" spans="1:11" x14ac:dyDescent="0.25">
      <c r="A32" s="5" t="s">
        <v>40</v>
      </c>
      <c r="B32" s="5" t="s">
        <v>69</v>
      </c>
      <c r="C32" s="5" t="s">
        <v>31</v>
      </c>
      <c r="D32" s="5" t="s">
        <v>62</v>
      </c>
      <c r="E32" s="6" t="s">
        <v>35</v>
      </c>
      <c r="F32" s="7">
        <v>1133</v>
      </c>
      <c r="G32" s="5">
        <v>30</v>
      </c>
      <c r="H32" s="8">
        <v>53.6</v>
      </c>
      <c r="I32" s="8">
        <v>6.19</v>
      </c>
      <c r="J32" s="9">
        <v>15.8</v>
      </c>
      <c r="K32" s="8">
        <v>1.42</v>
      </c>
    </row>
    <row r="33" spans="1:11" x14ac:dyDescent="0.25">
      <c r="A33" s="5" t="s">
        <v>40</v>
      </c>
      <c r="B33" s="5" t="s">
        <v>70</v>
      </c>
      <c r="C33" s="5" t="s">
        <v>33</v>
      </c>
      <c r="D33" s="5" t="s">
        <v>62</v>
      </c>
      <c r="E33" s="6" t="s">
        <v>35</v>
      </c>
      <c r="F33" s="7">
        <v>951</v>
      </c>
      <c r="G33" s="5">
        <v>19</v>
      </c>
      <c r="H33" s="8">
        <v>46.4</v>
      </c>
      <c r="I33" s="8">
        <v>7.2</v>
      </c>
      <c r="J33" s="9">
        <v>-3.6</v>
      </c>
      <c r="K33" s="8">
        <v>0.93</v>
      </c>
    </row>
    <row r="34" spans="1:11" x14ac:dyDescent="0.25">
      <c r="A34" s="5" t="s">
        <v>40</v>
      </c>
      <c r="B34" s="5" t="s">
        <v>71</v>
      </c>
      <c r="C34" s="5" t="s">
        <v>40</v>
      </c>
      <c r="D34" s="5" t="s">
        <v>62</v>
      </c>
      <c r="E34" s="5" t="s">
        <v>38</v>
      </c>
      <c r="F34" s="7">
        <v>830</v>
      </c>
      <c r="G34" s="5">
        <v>14</v>
      </c>
      <c r="H34" s="8">
        <v>51.5</v>
      </c>
      <c r="I34" s="8">
        <v>7.22</v>
      </c>
      <c r="J34" s="9">
        <v>-7.8</v>
      </c>
      <c r="K34" s="8">
        <v>0.87</v>
      </c>
    </row>
    <row r="35" spans="1:11" x14ac:dyDescent="0.25">
      <c r="A35" s="5" t="s">
        <v>40</v>
      </c>
      <c r="B35" s="5" t="s">
        <v>72</v>
      </c>
      <c r="C35" s="5" t="s">
        <v>31</v>
      </c>
      <c r="D35" s="5" t="s">
        <v>62</v>
      </c>
      <c r="E35" s="6" t="s">
        <v>35</v>
      </c>
      <c r="F35" s="7">
        <v>565</v>
      </c>
      <c r="G35" s="5">
        <v>12</v>
      </c>
      <c r="H35" s="8">
        <v>57.1</v>
      </c>
      <c r="I35" s="8">
        <v>6.97</v>
      </c>
      <c r="J35" s="9">
        <v>10</v>
      </c>
      <c r="K35" s="8">
        <v>1.21</v>
      </c>
    </row>
    <row r="36" spans="1:11" x14ac:dyDescent="0.25">
      <c r="A36" s="5" t="s">
        <v>40</v>
      </c>
      <c r="B36" s="5" t="s">
        <v>73</v>
      </c>
      <c r="C36" s="5" t="s">
        <v>40</v>
      </c>
      <c r="D36" s="5" t="s">
        <v>62</v>
      </c>
      <c r="E36" s="5" t="s">
        <v>38</v>
      </c>
      <c r="F36" s="7">
        <v>509</v>
      </c>
      <c r="G36" s="5">
        <v>9</v>
      </c>
      <c r="H36" s="8">
        <v>55.4</v>
      </c>
      <c r="I36" s="8">
        <v>6.53</v>
      </c>
      <c r="J36" s="9">
        <v>-1.2</v>
      </c>
      <c r="K36" s="8">
        <v>0.98</v>
      </c>
    </row>
    <row r="37" spans="1:11" x14ac:dyDescent="0.25">
      <c r="A37" s="5" t="s">
        <v>40</v>
      </c>
      <c r="B37" s="5" t="s">
        <v>74</v>
      </c>
      <c r="C37" s="5" t="s">
        <v>40</v>
      </c>
      <c r="D37" s="5" t="s">
        <v>62</v>
      </c>
      <c r="E37" s="5" t="s">
        <v>38</v>
      </c>
      <c r="F37" s="7">
        <v>457</v>
      </c>
      <c r="G37" s="5">
        <v>9</v>
      </c>
      <c r="H37" s="8">
        <v>53.9</v>
      </c>
      <c r="I37" s="8">
        <v>7.37</v>
      </c>
      <c r="J37" s="9">
        <v>3.2</v>
      </c>
      <c r="K37" s="8">
        <v>1.06</v>
      </c>
    </row>
    <row r="38" spans="1:11" x14ac:dyDescent="0.25">
      <c r="A38" s="5" t="s">
        <v>40</v>
      </c>
      <c r="B38" s="5" t="s">
        <v>75</v>
      </c>
      <c r="C38" s="5" t="s">
        <v>44</v>
      </c>
      <c r="D38" s="5" t="s">
        <v>62</v>
      </c>
      <c r="E38" s="6" t="s">
        <v>35</v>
      </c>
      <c r="F38" s="7">
        <v>107</v>
      </c>
      <c r="G38" s="5">
        <v>2</v>
      </c>
      <c r="H38" s="8">
        <v>53</v>
      </c>
      <c r="I38" s="8">
        <v>6.67</v>
      </c>
      <c r="J38" s="9">
        <v>-0.3</v>
      </c>
      <c r="K38" s="8">
        <v>0.99</v>
      </c>
    </row>
    <row r="39" spans="1:11" x14ac:dyDescent="0.25">
      <c r="A39" s="10" t="s">
        <v>76</v>
      </c>
      <c r="B39" s="10"/>
      <c r="C39" s="10"/>
      <c r="D39" s="10"/>
      <c r="E39" s="10" t="s">
        <v>77</v>
      </c>
      <c r="F39" s="11">
        <v>16285</v>
      </c>
      <c r="G39" s="10">
        <v>303</v>
      </c>
      <c r="H39" s="12">
        <v>50.7</v>
      </c>
      <c r="I39" s="10"/>
      <c r="J39" s="13">
        <v>-3</v>
      </c>
      <c r="K39" s="12">
        <v>0.94</v>
      </c>
    </row>
    <row r="40" spans="1:11" x14ac:dyDescent="0.25">
      <c r="A40" s="5" t="s">
        <v>78</v>
      </c>
      <c r="B40" s="5" t="s">
        <v>79</v>
      </c>
      <c r="C40" s="5" t="s">
        <v>40</v>
      </c>
      <c r="D40" s="5" t="s">
        <v>80</v>
      </c>
      <c r="E40" s="6" t="s">
        <v>35</v>
      </c>
      <c r="F40" s="7">
        <v>1498</v>
      </c>
      <c r="G40" s="5">
        <v>40</v>
      </c>
      <c r="H40" s="8">
        <v>30.4</v>
      </c>
      <c r="I40" s="8">
        <v>5.92</v>
      </c>
      <c r="J40" s="9">
        <v>-7.4</v>
      </c>
      <c r="K40" s="8">
        <v>0.8</v>
      </c>
    </row>
    <row r="41" spans="1:11" x14ac:dyDescent="0.25">
      <c r="A41" s="5" t="s">
        <v>78</v>
      </c>
      <c r="B41" s="5" t="s">
        <v>81</v>
      </c>
      <c r="C41" s="5" t="s">
        <v>40</v>
      </c>
      <c r="D41" s="5" t="s">
        <v>80</v>
      </c>
      <c r="E41" s="6" t="s">
        <v>35</v>
      </c>
      <c r="F41" s="7">
        <v>889</v>
      </c>
      <c r="G41" s="5">
        <v>28</v>
      </c>
      <c r="H41" s="8">
        <v>36.1</v>
      </c>
      <c r="I41" s="8">
        <v>5.59</v>
      </c>
      <c r="J41" s="9">
        <v>4.4000000000000004</v>
      </c>
      <c r="K41" s="8">
        <v>1.1399999999999999</v>
      </c>
    </row>
    <row r="42" spans="1:11" x14ac:dyDescent="0.25">
      <c r="A42" s="5" t="s">
        <v>78</v>
      </c>
      <c r="B42" s="5" t="s">
        <v>82</v>
      </c>
      <c r="C42" s="5" t="s">
        <v>40</v>
      </c>
      <c r="D42" s="5" t="s">
        <v>80</v>
      </c>
      <c r="E42" s="6" t="s">
        <v>35</v>
      </c>
      <c r="F42" s="7">
        <v>680</v>
      </c>
      <c r="G42" s="5">
        <v>22</v>
      </c>
      <c r="H42" s="8">
        <v>32.5</v>
      </c>
      <c r="I42" s="8">
        <v>5.19</v>
      </c>
      <c r="J42" s="9">
        <v>1.6</v>
      </c>
      <c r="K42" s="8">
        <v>1.05</v>
      </c>
    </row>
    <row r="43" spans="1:11" x14ac:dyDescent="0.25">
      <c r="A43" s="5" t="s">
        <v>78</v>
      </c>
      <c r="B43" s="5" t="s">
        <v>83</v>
      </c>
      <c r="C43" s="5" t="s">
        <v>40</v>
      </c>
      <c r="D43" s="5" t="s">
        <v>80</v>
      </c>
      <c r="E43" s="6" t="s">
        <v>35</v>
      </c>
      <c r="F43" s="7">
        <v>566</v>
      </c>
      <c r="G43" s="5">
        <v>16</v>
      </c>
      <c r="H43" s="8">
        <v>26.7</v>
      </c>
      <c r="I43" s="8">
        <v>5.34</v>
      </c>
      <c r="J43" s="9">
        <v>-8.6999999999999993</v>
      </c>
      <c r="K43" s="8">
        <v>0.76</v>
      </c>
    </row>
    <row r="44" spans="1:11" x14ac:dyDescent="0.25">
      <c r="A44" s="5" t="s">
        <v>78</v>
      </c>
      <c r="B44" s="5" t="s">
        <v>84</v>
      </c>
      <c r="C44" s="5" t="s">
        <v>40</v>
      </c>
      <c r="D44" s="5" t="s">
        <v>80</v>
      </c>
      <c r="E44" s="6" t="s">
        <v>35</v>
      </c>
      <c r="F44" s="7">
        <v>334</v>
      </c>
      <c r="G44" s="5">
        <v>9</v>
      </c>
      <c r="H44" s="8">
        <v>17.600000000000001</v>
      </c>
      <c r="I44" s="8">
        <v>5.05</v>
      </c>
      <c r="J44" s="9">
        <v>-19.5</v>
      </c>
      <c r="K44" s="8">
        <v>0.47</v>
      </c>
    </row>
    <row r="45" spans="1:11" x14ac:dyDescent="0.25">
      <c r="A45" s="5" t="s">
        <v>78</v>
      </c>
      <c r="B45" s="5" t="s">
        <v>85</v>
      </c>
      <c r="C45" s="5" t="s">
        <v>44</v>
      </c>
      <c r="D45" s="5" t="s">
        <v>80</v>
      </c>
      <c r="E45" s="6" t="s">
        <v>35</v>
      </c>
      <c r="F45" s="7">
        <v>368</v>
      </c>
      <c r="G45" s="5">
        <v>2</v>
      </c>
      <c r="H45" s="8">
        <v>28.8</v>
      </c>
      <c r="I45" s="8">
        <v>9.9499999999999993</v>
      </c>
      <c r="J45" s="9">
        <v>-155.19999999999999</v>
      </c>
      <c r="K45" s="8">
        <v>0.16</v>
      </c>
    </row>
    <row r="46" spans="1:11" x14ac:dyDescent="0.25">
      <c r="A46" s="5" t="s">
        <v>78</v>
      </c>
      <c r="B46" s="5" t="s">
        <v>86</v>
      </c>
      <c r="C46" s="5" t="s">
        <v>44</v>
      </c>
      <c r="D46" s="5" t="s">
        <v>80</v>
      </c>
      <c r="E46" s="6" t="s">
        <v>35</v>
      </c>
      <c r="F46" s="7">
        <v>198</v>
      </c>
      <c r="G46" s="5">
        <v>6</v>
      </c>
      <c r="H46" s="8">
        <v>20.9</v>
      </c>
      <c r="I46" s="8">
        <v>6.59</v>
      </c>
      <c r="J46" s="9">
        <v>-12.1</v>
      </c>
      <c r="K46" s="8">
        <v>0.63</v>
      </c>
    </row>
    <row r="47" spans="1:11" x14ac:dyDescent="0.25">
      <c r="A47" s="5" t="s">
        <v>78</v>
      </c>
      <c r="B47" s="5" t="s">
        <v>87</v>
      </c>
      <c r="C47" s="5" t="s">
        <v>44</v>
      </c>
      <c r="D47" s="5" t="s">
        <v>80</v>
      </c>
      <c r="E47" s="6" t="s">
        <v>35</v>
      </c>
      <c r="F47" s="7">
        <v>121</v>
      </c>
      <c r="G47" s="5">
        <v>5</v>
      </c>
      <c r="H47" s="8">
        <v>19.8</v>
      </c>
      <c r="I47" s="8">
        <v>2.96</v>
      </c>
      <c r="J47" s="9">
        <v>-4.5</v>
      </c>
      <c r="K47" s="8">
        <v>0.82</v>
      </c>
    </row>
    <row r="48" spans="1:11" x14ac:dyDescent="0.25">
      <c r="A48" s="5" t="s">
        <v>78</v>
      </c>
      <c r="B48" s="5" t="s">
        <v>88</v>
      </c>
      <c r="C48" s="5" t="s">
        <v>44</v>
      </c>
      <c r="D48" s="5" t="s">
        <v>80</v>
      </c>
      <c r="E48" s="6" t="s">
        <v>35</v>
      </c>
      <c r="F48" s="7">
        <v>60</v>
      </c>
      <c r="G48" s="5">
        <v>2</v>
      </c>
      <c r="H48" s="8">
        <v>29</v>
      </c>
      <c r="I48" s="8">
        <v>7.52</v>
      </c>
      <c r="J48" s="9">
        <v>-1.1000000000000001</v>
      </c>
      <c r="K48" s="8">
        <v>0.96</v>
      </c>
    </row>
    <row r="49" spans="1:11" x14ac:dyDescent="0.25">
      <c r="A49" s="5" t="s">
        <v>78</v>
      </c>
      <c r="B49" s="5" t="s">
        <v>89</v>
      </c>
      <c r="C49" s="5" t="s">
        <v>44</v>
      </c>
      <c r="D49" s="5" t="s">
        <v>80</v>
      </c>
      <c r="E49" s="6" t="s">
        <v>35</v>
      </c>
      <c r="F49" s="7">
        <v>60</v>
      </c>
      <c r="G49" s="5">
        <v>1</v>
      </c>
      <c r="H49" s="8">
        <v>25.9</v>
      </c>
      <c r="I49" s="8">
        <v>8.5500000000000007</v>
      </c>
      <c r="J49" s="9">
        <v>-33.9</v>
      </c>
      <c r="K49" s="8">
        <v>0.43</v>
      </c>
    </row>
    <row r="50" spans="1:11" x14ac:dyDescent="0.25">
      <c r="A50" s="10" t="s">
        <v>90</v>
      </c>
      <c r="B50" s="10"/>
      <c r="C50" s="10"/>
      <c r="D50" s="10"/>
      <c r="E50" s="10" t="s">
        <v>91</v>
      </c>
      <c r="F50" s="11">
        <v>4774</v>
      </c>
      <c r="G50" s="10">
        <v>131</v>
      </c>
      <c r="H50" s="12">
        <v>29.7</v>
      </c>
      <c r="I50" s="10"/>
      <c r="J50" s="13">
        <v>-6.8</v>
      </c>
      <c r="K50" s="12">
        <v>0.81</v>
      </c>
    </row>
  </sheetData>
  <mergeCells count="1">
    <mergeCell ref="A2:K2"/>
  </mergeCells>
  <conditionalFormatting sqref="J5:J50">
    <cfRule type="cellIs" dxfId="1" priority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A8" sqref="A8"/>
    </sheetView>
  </sheetViews>
  <sheetFormatPr defaultRowHeight="15" x14ac:dyDescent="0.25"/>
  <cols>
    <col min="1" max="1" width="18" customWidth="1"/>
    <col min="2" max="5" width="12" customWidth="1"/>
    <col min="6" max="6" width="10" customWidth="1"/>
  </cols>
  <sheetData>
    <row r="1" spans="1:7" ht="18" x14ac:dyDescent="0.25">
      <c r="A1" s="1" t="s">
        <v>92</v>
      </c>
    </row>
    <row r="2" spans="1:7" ht="27.95" customHeight="1" x14ac:dyDescent="0.25">
      <c r="A2" s="28" t="s">
        <v>93</v>
      </c>
      <c r="B2" s="27"/>
      <c r="C2" s="27"/>
      <c r="D2" s="27"/>
      <c r="E2" s="27"/>
      <c r="F2" s="27"/>
      <c r="G2" s="27"/>
    </row>
    <row r="4" spans="1:7" x14ac:dyDescent="0.25">
      <c r="A4" s="2" t="s">
        <v>94</v>
      </c>
    </row>
    <row r="5" spans="1:7" ht="30" x14ac:dyDescent="0.25">
      <c r="A5" s="14" t="s">
        <v>95</v>
      </c>
      <c r="B5" s="4" t="s">
        <v>31</v>
      </c>
      <c r="C5" s="4" t="s">
        <v>33</v>
      </c>
      <c r="D5" s="4" t="s">
        <v>40</v>
      </c>
      <c r="E5" s="4" t="s">
        <v>78</v>
      </c>
      <c r="F5" s="14" t="s">
        <v>96</v>
      </c>
    </row>
    <row r="6" spans="1:7" x14ac:dyDescent="0.25">
      <c r="A6" s="10" t="s">
        <v>31</v>
      </c>
      <c r="B6" s="15">
        <v>1806</v>
      </c>
      <c r="C6" s="15">
        <v>3143</v>
      </c>
      <c r="D6" s="15">
        <v>3047</v>
      </c>
      <c r="E6" s="15">
        <v>0</v>
      </c>
      <c r="F6" s="16">
        <v>7996</v>
      </c>
    </row>
    <row r="7" spans="1:7" x14ac:dyDescent="0.25">
      <c r="A7" s="10" t="s">
        <v>33</v>
      </c>
      <c r="B7" s="15">
        <v>12859</v>
      </c>
      <c r="C7" s="15">
        <v>19920</v>
      </c>
      <c r="D7" s="15">
        <v>5405</v>
      </c>
      <c r="E7" s="15">
        <v>0</v>
      </c>
      <c r="F7" s="16">
        <v>38185</v>
      </c>
    </row>
    <row r="8" spans="1:7" x14ac:dyDescent="0.25">
      <c r="A8" s="10" t="s">
        <v>40</v>
      </c>
      <c r="B8" s="15">
        <v>1343</v>
      </c>
      <c r="C8" s="15">
        <v>3270</v>
      </c>
      <c r="D8" s="15">
        <v>7726</v>
      </c>
      <c r="E8" s="15">
        <v>3967</v>
      </c>
      <c r="F8" s="16">
        <v>16306</v>
      </c>
    </row>
    <row r="9" spans="1:7" x14ac:dyDescent="0.25">
      <c r="A9" s="10" t="s">
        <v>96</v>
      </c>
      <c r="B9" s="16">
        <v>16008</v>
      </c>
      <c r="C9" s="16">
        <v>26333</v>
      </c>
      <c r="D9" s="16">
        <v>16179</v>
      </c>
      <c r="E9" s="16">
        <v>3967</v>
      </c>
      <c r="F9" s="16">
        <v>62487</v>
      </c>
    </row>
    <row r="12" spans="1:7" x14ac:dyDescent="0.25">
      <c r="A12" s="2" t="s">
        <v>97</v>
      </c>
    </row>
    <row r="13" spans="1:7" ht="30" x14ac:dyDescent="0.25">
      <c r="A13" s="14" t="s">
        <v>95</v>
      </c>
      <c r="B13" s="4" t="s">
        <v>31</v>
      </c>
      <c r="C13" s="4" t="s">
        <v>33</v>
      </c>
      <c r="D13" s="4" t="s">
        <v>40</v>
      </c>
      <c r="E13" s="4" t="s">
        <v>78</v>
      </c>
      <c r="F13" s="14" t="s">
        <v>96</v>
      </c>
    </row>
    <row r="14" spans="1:7" x14ac:dyDescent="0.25">
      <c r="A14" s="10" t="s">
        <v>31</v>
      </c>
      <c r="B14" s="17">
        <v>1</v>
      </c>
      <c r="C14" s="17">
        <v>2</v>
      </c>
      <c r="D14" s="17">
        <v>3</v>
      </c>
      <c r="E14" s="17">
        <v>0</v>
      </c>
      <c r="F14" s="18">
        <v>6</v>
      </c>
    </row>
    <row r="15" spans="1:7" x14ac:dyDescent="0.25">
      <c r="A15" s="10" t="s">
        <v>33</v>
      </c>
      <c r="B15" s="17">
        <v>4</v>
      </c>
      <c r="C15" s="17">
        <v>7</v>
      </c>
      <c r="D15" s="17">
        <v>3</v>
      </c>
      <c r="E15" s="17">
        <v>0</v>
      </c>
      <c r="F15" s="18">
        <v>14</v>
      </c>
    </row>
    <row r="16" spans="1:7" x14ac:dyDescent="0.25">
      <c r="A16" s="10" t="s">
        <v>40</v>
      </c>
      <c r="B16" s="17">
        <v>1</v>
      </c>
      <c r="C16" s="17">
        <v>2</v>
      </c>
      <c r="D16" s="17">
        <v>7</v>
      </c>
      <c r="E16" s="17">
        <v>5</v>
      </c>
      <c r="F16" s="18">
        <v>15</v>
      </c>
    </row>
    <row r="17" spans="1:6" x14ac:dyDescent="0.25">
      <c r="A17" s="10" t="s">
        <v>96</v>
      </c>
      <c r="B17" s="18">
        <v>6</v>
      </c>
      <c r="C17" s="18">
        <v>11</v>
      </c>
      <c r="D17" s="18">
        <v>13</v>
      </c>
      <c r="E17" s="18">
        <v>5</v>
      </c>
      <c r="F17" s="18">
        <v>35</v>
      </c>
    </row>
  </sheetData>
  <mergeCells count="1">
    <mergeCell ref="A2:G2"/>
  </mergeCells>
  <conditionalFormatting sqref="B6:E8">
    <cfRule type="colorScale" priority="1">
      <colorScale>
        <cfvo type="num" val="0"/>
        <cfvo type="max"/>
        <color rgb="FFFFFFFF"/>
        <color rgb="FF9BC2E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A3" sqref="A3"/>
    </sheetView>
  </sheetViews>
  <sheetFormatPr defaultRowHeight="15" x14ac:dyDescent="0.25"/>
  <cols>
    <col min="1" max="1" width="66.85546875" customWidth="1"/>
    <col min="2" max="2" width="12" customWidth="1"/>
    <col min="3" max="3" width="11" customWidth="1"/>
    <col min="4" max="4" width="10" customWidth="1"/>
    <col min="5" max="5" width="16" customWidth="1"/>
    <col min="6" max="8" width="12" customWidth="1"/>
  </cols>
  <sheetData>
    <row r="1" spans="1:8" ht="18" x14ac:dyDescent="0.25">
      <c r="A1" s="1" t="s">
        <v>98</v>
      </c>
    </row>
    <row r="2" spans="1:8" ht="54" customHeight="1" x14ac:dyDescent="0.25">
      <c r="A2" s="28" t="s">
        <v>168</v>
      </c>
      <c r="B2" s="27"/>
      <c r="C2" s="27"/>
      <c r="D2" s="27"/>
      <c r="E2" s="27"/>
      <c r="F2" s="27"/>
      <c r="G2" s="27"/>
      <c r="H2" s="27"/>
    </row>
    <row r="4" spans="1:8" ht="30" x14ac:dyDescent="0.25">
      <c r="A4" s="4" t="s">
        <v>99</v>
      </c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</row>
    <row r="5" spans="1:8" x14ac:dyDescent="0.25">
      <c r="A5" s="5" t="s">
        <v>34</v>
      </c>
      <c r="B5" s="5" t="s">
        <v>31</v>
      </c>
      <c r="C5" s="5">
        <v>1</v>
      </c>
      <c r="D5" s="5">
        <v>6</v>
      </c>
      <c r="E5" s="5">
        <v>5</v>
      </c>
      <c r="F5" s="7">
        <v>16376</v>
      </c>
      <c r="G5" s="8">
        <v>85.5</v>
      </c>
      <c r="H5" s="8">
        <v>1.1599999999999999</v>
      </c>
    </row>
    <row r="6" spans="1:8" x14ac:dyDescent="0.25">
      <c r="A6" s="5" t="s">
        <v>48</v>
      </c>
      <c r="B6" s="5" t="s">
        <v>33</v>
      </c>
      <c r="C6" s="5">
        <v>7</v>
      </c>
      <c r="D6" s="5">
        <v>4</v>
      </c>
      <c r="E6" s="5">
        <v>7</v>
      </c>
      <c r="F6" s="7">
        <v>26333</v>
      </c>
      <c r="G6" s="8">
        <v>65.7</v>
      </c>
      <c r="H6" s="8">
        <v>1.0900000000000001</v>
      </c>
    </row>
    <row r="7" spans="1:8" x14ac:dyDescent="0.25">
      <c r="A7" s="5" t="s">
        <v>62</v>
      </c>
      <c r="B7" s="5" t="s">
        <v>40</v>
      </c>
      <c r="C7" s="5">
        <v>7</v>
      </c>
      <c r="D7" s="5">
        <v>7</v>
      </c>
      <c r="E7" s="5">
        <v>8</v>
      </c>
      <c r="F7" s="7">
        <v>16285</v>
      </c>
      <c r="G7" s="8">
        <v>50.7</v>
      </c>
      <c r="H7" s="8">
        <v>0.94</v>
      </c>
    </row>
    <row r="8" spans="1:8" x14ac:dyDescent="0.25">
      <c r="A8" s="5" t="s">
        <v>80</v>
      </c>
      <c r="B8" s="5" t="s">
        <v>78</v>
      </c>
      <c r="C8" s="5">
        <v>0</v>
      </c>
      <c r="D8" s="5">
        <v>10</v>
      </c>
      <c r="E8" s="5">
        <v>0</v>
      </c>
      <c r="F8" s="7">
        <v>4774</v>
      </c>
      <c r="G8" s="8">
        <v>29.7</v>
      </c>
      <c r="H8" s="8">
        <v>0.81</v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selection activeCell="D8" sqref="D8"/>
    </sheetView>
  </sheetViews>
  <sheetFormatPr defaultRowHeight="15" x14ac:dyDescent="0.25"/>
  <cols>
    <col min="1" max="1" width="16.5703125" customWidth="1"/>
    <col min="2" max="2" width="20" customWidth="1"/>
    <col min="3" max="3" width="8" customWidth="1"/>
    <col min="4" max="4" width="12" customWidth="1"/>
    <col min="5" max="5" width="8" customWidth="1"/>
    <col min="6" max="7" width="9" customWidth="1"/>
    <col min="8" max="8" width="11" customWidth="1"/>
    <col min="9" max="9" width="9" customWidth="1"/>
  </cols>
  <sheetData>
    <row r="1" spans="1:9" ht="18" x14ac:dyDescent="0.25">
      <c r="A1" s="1" t="s">
        <v>107</v>
      </c>
    </row>
    <row r="2" spans="1:9" ht="27.95" customHeight="1" x14ac:dyDescent="0.25">
      <c r="A2" s="28" t="s">
        <v>108</v>
      </c>
      <c r="B2" s="27"/>
      <c r="C2" s="27"/>
      <c r="D2" s="27"/>
      <c r="E2" s="27"/>
      <c r="F2" s="27"/>
      <c r="G2" s="27"/>
      <c r="H2" s="27"/>
      <c r="I2" s="27"/>
    </row>
    <row r="4" spans="1:9" ht="30" x14ac:dyDescent="0.25">
      <c r="A4" s="4" t="s">
        <v>20</v>
      </c>
      <c r="B4" s="4" t="s">
        <v>109</v>
      </c>
      <c r="C4" s="4" t="s">
        <v>110</v>
      </c>
      <c r="D4" s="4" t="s">
        <v>25</v>
      </c>
      <c r="E4" s="4" t="s">
        <v>26</v>
      </c>
      <c r="F4" s="4" t="s">
        <v>111</v>
      </c>
      <c r="G4" s="4" t="s">
        <v>112</v>
      </c>
      <c r="H4" s="4" t="s">
        <v>113</v>
      </c>
      <c r="I4" s="4" t="s">
        <v>114</v>
      </c>
    </row>
    <row r="5" spans="1:9" x14ac:dyDescent="0.25">
      <c r="A5" s="5" t="s">
        <v>31</v>
      </c>
      <c r="B5" s="19" t="s">
        <v>115</v>
      </c>
      <c r="C5" s="5">
        <v>7</v>
      </c>
      <c r="D5" s="7">
        <v>16376</v>
      </c>
      <c r="E5" s="5">
        <v>221</v>
      </c>
      <c r="F5" s="8">
        <v>85.5</v>
      </c>
      <c r="G5" s="8">
        <v>74</v>
      </c>
      <c r="H5" s="9">
        <v>11.6</v>
      </c>
      <c r="I5" s="8">
        <v>1.1599999999999999</v>
      </c>
    </row>
    <row r="6" spans="1:9" x14ac:dyDescent="0.25">
      <c r="A6" s="5" t="s">
        <v>33</v>
      </c>
      <c r="B6" s="19" t="s">
        <v>116</v>
      </c>
      <c r="C6" s="5">
        <v>11</v>
      </c>
      <c r="D6" s="7">
        <v>26333</v>
      </c>
      <c r="E6" s="5">
        <v>435</v>
      </c>
      <c r="F6" s="8">
        <v>65.7</v>
      </c>
      <c r="G6" s="8">
        <v>60.5</v>
      </c>
      <c r="H6" s="9">
        <v>5.3</v>
      </c>
      <c r="I6" s="8">
        <v>1.0900000000000001</v>
      </c>
    </row>
    <row r="7" spans="1:9" x14ac:dyDescent="0.25">
      <c r="A7" s="5" t="s">
        <v>40</v>
      </c>
      <c r="B7" s="19" t="s">
        <v>117</v>
      </c>
      <c r="C7" s="5">
        <v>14</v>
      </c>
      <c r="D7" s="7">
        <v>16285</v>
      </c>
      <c r="E7" s="5">
        <v>303</v>
      </c>
      <c r="F7" s="8">
        <v>50.7</v>
      </c>
      <c r="G7" s="8">
        <v>53.7</v>
      </c>
      <c r="H7" s="9">
        <v>-3</v>
      </c>
      <c r="I7" s="8">
        <v>0.94</v>
      </c>
    </row>
    <row r="8" spans="1:9" x14ac:dyDescent="0.25">
      <c r="A8" s="5" t="s">
        <v>78</v>
      </c>
      <c r="B8" s="19" t="s">
        <v>118</v>
      </c>
      <c r="C8" s="5">
        <v>10</v>
      </c>
      <c r="D8" s="7">
        <v>4774</v>
      </c>
      <c r="E8" s="5">
        <v>131</v>
      </c>
      <c r="F8" s="8">
        <v>29.7</v>
      </c>
      <c r="G8" s="8">
        <v>36.5</v>
      </c>
      <c r="H8" s="9">
        <v>-6.8</v>
      </c>
      <c r="I8" s="8">
        <v>0.81</v>
      </c>
    </row>
  </sheetData>
  <mergeCells count="1">
    <mergeCell ref="A2:I2"/>
  </mergeCells>
  <conditionalFormatting sqref="H5:H8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G3" sqref="G3"/>
    </sheetView>
  </sheetViews>
  <sheetFormatPr defaultRowHeight="15" x14ac:dyDescent="0.25"/>
  <cols>
    <col min="1" max="1" width="12" customWidth="1"/>
    <col min="2" max="2" width="9" customWidth="1"/>
    <col min="3" max="3" width="13" customWidth="1"/>
    <col min="4" max="4" width="11" customWidth="1"/>
    <col min="5" max="5" width="13" customWidth="1"/>
    <col min="6" max="6" width="16" customWidth="1"/>
    <col min="7" max="7" width="11" customWidth="1"/>
    <col min="8" max="8" width="59.5703125" customWidth="1"/>
  </cols>
  <sheetData>
    <row r="1" spans="1:8" ht="18" x14ac:dyDescent="0.25">
      <c r="A1" s="1" t="s">
        <v>119</v>
      </c>
    </row>
    <row r="2" spans="1:8" ht="66" customHeight="1" x14ac:dyDescent="0.25">
      <c r="A2" s="28" t="s">
        <v>166</v>
      </c>
      <c r="B2" s="27"/>
      <c r="C2" s="27"/>
      <c r="D2" s="27"/>
      <c r="E2" s="27"/>
      <c r="F2" s="27"/>
      <c r="G2" s="27"/>
      <c r="H2" s="27"/>
    </row>
    <row r="4" spans="1:8" ht="30" x14ac:dyDescent="0.25">
      <c r="A4" s="4" t="s">
        <v>20</v>
      </c>
      <c r="B4" s="4" t="s">
        <v>111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124</v>
      </c>
      <c r="H4" s="4" t="s">
        <v>125</v>
      </c>
    </row>
    <row r="5" spans="1:8" x14ac:dyDescent="0.25">
      <c r="A5" s="5" t="s">
        <v>31</v>
      </c>
      <c r="B5" s="8">
        <v>85.5</v>
      </c>
      <c r="C5" s="20">
        <v>0.2</v>
      </c>
      <c r="D5" s="21">
        <f>IF(C5="","",1/(1-C5))</f>
        <v>1.25</v>
      </c>
      <c r="E5" s="22">
        <f>IF(C5="","",B5*(1-C5))</f>
        <v>68.400000000000006</v>
      </c>
      <c r="F5" s="8">
        <v>1.1599999999999999</v>
      </c>
      <c r="G5" s="8">
        <f>IF(C5="","",F5-D5)</f>
        <v>-9.000000000000008E-2</v>
      </c>
      <c r="H5" s="19" t="s">
        <v>126</v>
      </c>
    </row>
    <row r="6" spans="1:8" x14ac:dyDescent="0.25">
      <c r="A6" s="5" t="s">
        <v>33</v>
      </c>
      <c r="B6" s="8">
        <v>65.7</v>
      </c>
      <c r="C6" s="20">
        <v>0.12</v>
      </c>
      <c r="D6" s="21">
        <f>IF(C6="","",1/(1-C6))</f>
        <v>1.1363636363636365</v>
      </c>
      <c r="E6" s="22">
        <f>IF(C6="","",B6*(1-C6))</f>
        <v>57.816000000000003</v>
      </c>
      <c r="F6" s="8">
        <v>1.0900000000000001</v>
      </c>
      <c r="G6" s="8">
        <f>IF(C6="","",F6-D6)</f>
        <v>-4.6363636363636385E-2</v>
      </c>
      <c r="H6" s="19" t="s">
        <v>126</v>
      </c>
    </row>
    <row r="7" spans="1:8" x14ac:dyDescent="0.25">
      <c r="A7" s="5" t="s">
        <v>40</v>
      </c>
      <c r="B7" s="8">
        <v>50.7</v>
      </c>
      <c r="C7" s="20">
        <v>0.05</v>
      </c>
      <c r="D7" s="21">
        <f>IF(C7="","",1/(1-C7))</f>
        <v>1.0526315789473684</v>
      </c>
      <c r="E7" s="22">
        <f>IF(C7="","",B7*(1-C7))</f>
        <v>48.164999999999999</v>
      </c>
      <c r="F7" s="8">
        <v>0.94</v>
      </c>
      <c r="G7" s="8">
        <f>IF(C7="","",F7-D7)</f>
        <v>-0.11263157894736842</v>
      </c>
      <c r="H7" s="19" t="s">
        <v>126</v>
      </c>
    </row>
    <row r="8" spans="1:8" x14ac:dyDescent="0.25">
      <c r="A8" s="5" t="s">
        <v>78</v>
      </c>
      <c r="B8" s="8">
        <v>29.7</v>
      </c>
      <c r="C8" s="20">
        <v>0</v>
      </c>
      <c r="D8" s="21">
        <f>IF(C8="","",1/(1-C8))</f>
        <v>1</v>
      </c>
      <c r="E8" s="22">
        <f>IF(C8="","",B8*(1-C8))</f>
        <v>29.7</v>
      </c>
      <c r="F8" s="8">
        <v>0.81</v>
      </c>
      <c r="G8" s="8">
        <f>IF(C8="","",F8-D8)</f>
        <v>-0.18999999999999995</v>
      </c>
      <c r="H8" s="19" t="s">
        <v>126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A3" sqref="A3"/>
    </sheetView>
  </sheetViews>
  <sheetFormatPr defaultRowHeight="15" x14ac:dyDescent="0.25"/>
  <cols>
    <col min="1" max="1" width="16.7109375" customWidth="1"/>
    <col min="2" max="2" width="11" customWidth="1"/>
    <col min="3" max="3" width="26" customWidth="1"/>
    <col min="4" max="4" width="44" customWidth="1"/>
    <col min="5" max="5" width="30" customWidth="1"/>
    <col min="6" max="6" width="12" customWidth="1"/>
  </cols>
  <sheetData>
    <row r="1" spans="1:6" ht="18" x14ac:dyDescent="0.25">
      <c r="A1" s="1" t="s">
        <v>127</v>
      </c>
    </row>
    <row r="2" spans="1:6" ht="39.950000000000003" customHeight="1" x14ac:dyDescent="0.25">
      <c r="A2" s="28" t="s">
        <v>167</v>
      </c>
      <c r="B2" s="27"/>
      <c r="C2" s="27"/>
      <c r="D2" s="27"/>
      <c r="E2" s="27"/>
      <c r="F2" s="27"/>
    </row>
    <row r="4" spans="1:6" x14ac:dyDescent="0.25">
      <c r="A4" s="4" t="s">
        <v>21</v>
      </c>
      <c r="B4" s="4" t="s">
        <v>128</v>
      </c>
      <c r="C4" s="4" t="s">
        <v>129</v>
      </c>
      <c r="D4" s="4" t="s">
        <v>130</v>
      </c>
      <c r="E4" s="4" t="s">
        <v>131</v>
      </c>
      <c r="F4" s="4" t="s">
        <v>132</v>
      </c>
    </row>
    <row r="5" spans="1:6" ht="30" customHeight="1" x14ac:dyDescent="0.25">
      <c r="A5" s="23" t="s">
        <v>39</v>
      </c>
      <c r="B5" s="23" t="s">
        <v>31</v>
      </c>
      <c r="C5" s="24" t="s">
        <v>133</v>
      </c>
      <c r="D5" s="24" t="s">
        <v>134</v>
      </c>
      <c r="E5" s="24" t="s">
        <v>135</v>
      </c>
      <c r="F5" s="24" t="s">
        <v>136</v>
      </c>
    </row>
    <row r="6" spans="1:6" ht="30" customHeight="1" x14ac:dyDescent="0.25">
      <c r="A6" s="23" t="s">
        <v>61</v>
      </c>
      <c r="B6" s="23" t="s">
        <v>40</v>
      </c>
      <c r="C6" s="24" t="s">
        <v>137</v>
      </c>
      <c r="D6" s="24" t="s">
        <v>138</v>
      </c>
      <c r="E6" s="24" t="s">
        <v>135</v>
      </c>
      <c r="F6" s="24" t="s">
        <v>136</v>
      </c>
    </row>
    <row r="7" spans="1:6" ht="30" customHeight="1" x14ac:dyDescent="0.25">
      <c r="A7" s="23" t="s">
        <v>50</v>
      </c>
      <c r="B7" s="23" t="s">
        <v>33</v>
      </c>
      <c r="C7" s="24" t="s">
        <v>137</v>
      </c>
      <c r="D7" s="24" t="s">
        <v>139</v>
      </c>
      <c r="E7" s="24" t="s">
        <v>135</v>
      </c>
      <c r="F7" s="24" t="s">
        <v>136</v>
      </c>
    </row>
    <row r="8" spans="1:6" ht="30" customHeight="1" x14ac:dyDescent="0.25">
      <c r="A8" s="23" t="s">
        <v>69</v>
      </c>
      <c r="B8" s="23" t="s">
        <v>40</v>
      </c>
      <c r="C8" s="24" t="s">
        <v>140</v>
      </c>
      <c r="D8" s="24" t="s">
        <v>141</v>
      </c>
      <c r="E8" s="24" t="s">
        <v>142</v>
      </c>
      <c r="F8" s="24" t="s">
        <v>143</v>
      </c>
    </row>
    <row r="9" spans="1:6" ht="30" customHeight="1" x14ac:dyDescent="0.25">
      <c r="A9" s="23" t="s">
        <v>66</v>
      </c>
      <c r="B9" s="23" t="s">
        <v>40</v>
      </c>
      <c r="C9" s="24" t="s">
        <v>140</v>
      </c>
      <c r="D9" s="24" t="s">
        <v>144</v>
      </c>
      <c r="E9" s="24" t="s">
        <v>142</v>
      </c>
      <c r="F9" s="24" t="s">
        <v>143</v>
      </c>
    </row>
    <row r="10" spans="1:6" ht="30" customHeight="1" x14ac:dyDescent="0.25">
      <c r="A10" s="23" t="s">
        <v>47</v>
      </c>
      <c r="B10" s="23" t="s">
        <v>33</v>
      </c>
      <c r="C10" s="24" t="s">
        <v>145</v>
      </c>
      <c r="D10" s="24" t="s">
        <v>146</v>
      </c>
      <c r="E10" s="24" t="s">
        <v>147</v>
      </c>
      <c r="F10" s="24" t="s">
        <v>148</v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workbookViewId="0"/>
  </sheetViews>
  <sheetFormatPr defaultRowHeight="15" x14ac:dyDescent="0.25"/>
  <cols>
    <col min="1" max="1" width="24" customWidth="1"/>
    <col min="2" max="8" width="12" customWidth="1"/>
  </cols>
  <sheetData>
    <row r="1" spans="1:8" ht="18" x14ac:dyDescent="0.25">
      <c r="A1" s="1" t="s">
        <v>149</v>
      </c>
    </row>
    <row r="3" spans="1:8" x14ac:dyDescent="0.25">
      <c r="A3" s="25" t="s">
        <v>150</v>
      </c>
    </row>
    <row r="4" spans="1:8" ht="44.1" customHeight="1" x14ac:dyDescent="0.25">
      <c r="A4" s="28" t="s">
        <v>151</v>
      </c>
      <c r="B4" s="27"/>
      <c r="C4" s="27"/>
      <c r="D4" s="27"/>
      <c r="E4" s="27"/>
      <c r="F4" s="27"/>
      <c r="G4" s="27"/>
      <c r="H4" s="27"/>
    </row>
    <row r="6" spans="1:8" x14ac:dyDescent="0.25">
      <c r="A6" s="25" t="s">
        <v>152</v>
      </c>
    </row>
    <row r="7" spans="1:8" ht="44.1" customHeight="1" x14ac:dyDescent="0.25">
      <c r="A7" s="28" t="s">
        <v>153</v>
      </c>
      <c r="B7" s="27"/>
      <c r="C7" s="27"/>
      <c r="D7" s="27"/>
      <c r="E7" s="27"/>
      <c r="F7" s="27"/>
      <c r="G7" s="27"/>
      <c r="H7" s="27"/>
    </row>
    <row r="9" spans="1:8" x14ac:dyDescent="0.25">
      <c r="A9" s="25" t="s">
        <v>154</v>
      </c>
    </row>
    <row r="10" spans="1:8" ht="44.1" customHeight="1" x14ac:dyDescent="0.25">
      <c r="A10" s="28" t="s">
        <v>155</v>
      </c>
      <c r="B10" s="27"/>
      <c r="C10" s="27"/>
      <c r="D10" s="27"/>
      <c r="E10" s="27"/>
      <c r="F10" s="27"/>
      <c r="G10" s="27"/>
      <c r="H10" s="27"/>
    </row>
    <row r="12" spans="1:8" x14ac:dyDescent="0.25">
      <c r="A12" s="25" t="s">
        <v>156</v>
      </c>
    </row>
    <row r="13" spans="1:8" ht="44.1" customHeight="1" x14ac:dyDescent="0.25">
      <c r="A13" s="28" t="s">
        <v>157</v>
      </c>
      <c r="B13" s="27"/>
      <c r="C13" s="27"/>
      <c r="D13" s="27"/>
      <c r="E13" s="27"/>
      <c r="F13" s="27"/>
      <c r="G13" s="27"/>
      <c r="H13" s="27"/>
    </row>
    <row r="15" spans="1:8" x14ac:dyDescent="0.25">
      <c r="A15" s="25" t="s">
        <v>158</v>
      </c>
    </row>
    <row r="16" spans="1:8" ht="44.1" customHeight="1" x14ac:dyDescent="0.25">
      <c r="A16" s="28" t="s">
        <v>169</v>
      </c>
      <c r="B16" s="27"/>
      <c r="C16" s="27"/>
      <c r="D16" s="27"/>
      <c r="E16" s="27"/>
      <c r="F16" s="27"/>
      <c r="G16" s="27"/>
      <c r="H16" s="27"/>
    </row>
    <row r="18" spans="1:8" x14ac:dyDescent="0.25">
      <c r="A18" s="25" t="s">
        <v>159</v>
      </c>
    </row>
    <row r="19" spans="1:8" ht="44.1" customHeight="1" x14ac:dyDescent="0.25">
      <c r="A19" s="28" t="s">
        <v>170</v>
      </c>
      <c r="B19" s="27"/>
      <c r="C19" s="27"/>
      <c r="D19" s="27"/>
      <c r="E19" s="27"/>
      <c r="F19" s="27"/>
      <c r="G19" s="27"/>
      <c r="H19" s="27"/>
    </row>
    <row r="21" spans="1:8" x14ac:dyDescent="0.25">
      <c r="A21" s="25" t="s">
        <v>160</v>
      </c>
    </row>
    <row r="22" spans="1:8" ht="57" customHeight="1" x14ac:dyDescent="0.25">
      <c r="A22" s="28" t="s">
        <v>161</v>
      </c>
      <c r="B22" s="27"/>
      <c r="C22" s="27"/>
      <c r="D22" s="27"/>
      <c r="E22" s="27"/>
      <c r="F22" s="27"/>
      <c r="G22" s="27"/>
      <c r="H22" s="27"/>
    </row>
    <row r="24" spans="1:8" x14ac:dyDescent="0.25">
      <c r="A24" s="25" t="s">
        <v>162</v>
      </c>
    </row>
    <row r="25" spans="1:8" ht="44.1" customHeight="1" x14ac:dyDescent="0.25">
      <c r="A25" s="28" t="s">
        <v>163</v>
      </c>
      <c r="B25" s="27"/>
      <c r="C25" s="27"/>
      <c r="D25" s="27"/>
      <c r="E25" s="27"/>
      <c r="F25" s="27"/>
      <c r="G25" s="27"/>
      <c r="H25" s="27"/>
    </row>
    <row r="27" spans="1:8" x14ac:dyDescent="0.25">
      <c r="A27" s="25" t="s">
        <v>164</v>
      </c>
    </row>
    <row r="28" spans="1:8" ht="44.1" customHeight="1" x14ac:dyDescent="0.25">
      <c r="A28" s="28" t="s">
        <v>171</v>
      </c>
      <c r="B28" s="27"/>
      <c r="C28" s="27"/>
      <c r="D28" s="27"/>
      <c r="E28" s="27"/>
      <c r="F28" s="27"/>
      <c r="G28" s="27"/>
      <c r="H28" s="27"/>
    </row>
  </sheetData>
  <mergeCells count="9">
    <mergeCell ref="A25:H25"/>
    <mergeCell ref="A13:H13"/>
    <mergeCell ref="A19:H19"/>
    <mergeCell ref="A28:H28"/>
    <mergeCell ref="A4:H4"/>
    <mergeCell ref="A7:H7"/>
    <mergeCell ref="A22:H22"/>
    <mergeCell ref="A16:H16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Rollout Summary</vt:lpstr>
      <vt:lpstr>Move Schedule</vt:lpstr>
      <vt:lpstr>Tier Transition Matrix</vt:lpstr>
      <vt:lpstr>Shell Repurposing Map</vt:lpstr>
      <vt:lpstr>New Tier Profile</vt:lpstr>
      <vt:lpstr>Targets &amp; Floors</vt:lpstr>
      <vt:lpstr>Exception Watch</vt:lpstr>
      <vt:lpstr>Risks &amp; Sequencing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 Montemayor</cp:lastModifiedBy>
  <dcterms:created xsi:type="dcterms:W3CDTF">2026-07-29T00:10:23Z</dcterms:created>
  <dcterms:modified xsi:type="dcterms:W3CDTF">2026-07-29T00:38:48Z</dcterms:modified>
</cp:coreProperties>
</file>